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profittigem-my.sharepoint.com/personal/v_martinelli_tigem_it/Documents/Tigem/2025_Opentrons/Opentrons/DNA_mix/"/>
    </mc:Choice>
  </mc:AlternateContent>
  <xr:revisionPtr revIDLastSave="241" documentId="13_ncr:1_{2CD6FB3C-E9DF-4BA1-B062-810855746CF1}" xr6:coauthVersionLast="47" xr6:coauthVersionMax="47" xr10:uidLastSave="{6B7D79CD-2957-4BAE-B1E8-5997E16DF992}"/>
  <bookViews>
    <workbookView xWindow="22932" yWindow="-108" windowWidth="23256" windowHeight="12456" xr2:uid="{7659B1DA-9122-4531-A6DB-20059ACA81A0}"/>
  </bookViews>
  <sheets>
    <sheet name="MIX" sheetId="1" r:id="rId1"/>
    <sheet name="TIP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" i="1" l="1"/>
  <c r="E43" i="1"/>
  <c r="D43" i="1"/>
  <c r="C43" i="1"/>
  <c r="B43" i="1"/>
  <c r="B3" i="1"/>
  <c r="E3" i="1"/>
  <c r="F3" i="1"/>
  <c r="E5" i="1"/>
  <c r="F5" i="1"/>
  <c r="B8" i="1"/>
  <c r="B13" i="1" s="1"/>
  <c r="C8" i="1"/>
  <c r="C13" i="1" s="1"/>
  <c r="E8" i="1"/>
  <c r="E13" i="1" s="1"/>
  <c r="B27" i="2" a="1"/>
  <c r="B27" i="2" s="1"/>
  <c r="B28" i="2" a="1"/>
  <c r="B28" i="2" s="1"/>
  <c r="B29" i="2" a="1"/>
  <c r="B29" i="2" s="1"/>
  <c r="E28" i="1"/>
  <c r="C28" i="1"/>
  <c r="B28" i="1"/>
  <c r="F4" i="1" l="1"/>
  <c r="D4" i="1" s="1"/>
  <c r="D8" i="1" s="1"/>
  <c r="G43" i="1"/>
  <c r="D28" i="1"/>
  <c r="F8" i="1" l="1"/>
  <c r="F13" i="1" s="1"/>
  <c r="B25" i="2" a="1"/>
  <c r="B25" i="2" s="1"/>
  <c r="B8" i="2" a="1"/>
  <c r="B8" i="2" s="1"/>
  <c r="B6" i="2" a="1"/>
  <c r="B6" i="2" s="1"/>
  <c r="F28" i="1"/>
  <c r="G28" i="1" s="1"/>
  <c r="B10" i="2" l="1" a="1"/>
  <c r="B10" i="2" s="1"/>
  <c r="B7" i="2" a="1"/>
  <c r="B7" i="2" s="1"/>
  <c r="B24" i="2" a="1"/>
  <c r="B24" i="2" s="1"/>
  <c r="B12" i="2" a="1"/>
  <c r="B12" i="2" s="1"/>
  <c r="B11" i="2" a="1"/>
  <c r="B11" i="2" s="1"/>
  <c r="B21" i="2" a="1"/>
  <c r="B21" i="2" s="1"/>
  <c r="B19" i="2" a="1"/>
  <c r="B19" i="2" s="1"/>
  <c r="B15" i="2" a="1"/>
  <c r="B15" i="2" s="1"/>
  <c r="B14" i="2" a="1"/>
  <c r="B14" i="2" s="1"/>
  <c r="B9" i="2" a="1"/>
  <c r="B9" i="2" s="1"/>
  <c r="B16" i="2" a="1"/>
  <c r="B16" i="2" s="1"/>
  <c r="B20" i="2" a="1"/>
  <c r="B20" i="2" s="1"/>
  <c r="B13" i="2" a="1"/>
  <c r="B13" i="2" s="1"/>
  <c r="B17" i="2" a="1"/>
  <c r="B17" i="2" s="1"/>
  <c r="B4" i="2" a="1"/>
  <c r="B4" i="2" s="1"/>
  <c r="B26" i="2" a="1"/>
  <c r="B26" i="2" s="1"/>
  <c r="B22" i="2" a="1"/>
  <c r="B22" i="2" s="1"/>
  <c r="B5" i="2" a="1"/>
  <c r="B5" i="2" s="1"/>
  <c r="B18" i="2" a="1"/>
  <c r="B18" i="2" s="1"/>
  <c r="B23" i="2" a="1"/>
  <c r="B23" i="2" s="1"/>
  <c r="D13" i="1"/>
  <c r="B3" i="2" s="1" a="1"/>
  <c r="B3" i="2" s="1"/>
  <c r="M4" i="2" l="1"/>
  <c r="M5" i="2"/>
  <c r="G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<sst xmlns="http://schemas.openxmlformats.org/spreadsheetml/2006/main" count="78" uniqueCount="29">
  <si>
    <t>A1</t>
  </si>
  <si>
    <t>pUAS::LUC</t>
  </si>
  <si>
    <t>Renilla</t>
  </si>
  <si>
    <t>pcDNA</t>
  </si>
  <si>
    <t>pCMV::MADGAL4NLS</t>
  </si>
  <si>
    <t>-</t>
  </si>
  <si>
    <t>MW</t>
  </si>
  <si>
    <t>Volume (uL)</t>
  </si>
  <si>
    <t>NaCL (150mM)</t>
  </si>
  <si>
    <t>A2</t>
  </si>
  <si>
    <t>A3</t>
  </si>
  <si>
    <t>A4</t>
  </si>
  <si>
    <t>A5</t>
  </si>
  <si>
    <t>A6</t>
  </si>
  <si>
    <t>pUAS::DTF0N8</t>
  </si>
  <si>
    <t>All volumes</t>
  </si>
  <si>
    <t>TIPS 50:</t>
  </si>
  <si>
    <t>TIPS 200:</t>
  </si>
  <si>
    <t>Length</t>
  </si>
  <si>
    <t>Weight (ng)</t>
  </si>
  <si>
    <t>Moles</t>
  </si>
  <si>
    <t>Molar ratio</t>
  </si>
  <si>
    <t>Concentration</t>
  </si>
  <si>
    <t>Number of smples</t>
  </si>
  <si>
    <t>Well volume (uL)</t>
  </si>
  <si>
    <t>• Only the hightlited information are required</t>
  </si>
  <si>
    <t>• Keep the same structure and include the empty rows between mixes</t>
  </si>
  <si>
    <t>• Add or eliminate columns if needed</t>
  </si>
  <si>
    <t>• Keep NaCl volume (set to 0 if not needed)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</si>
</sst>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charset val="238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7D3E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5">
    <xf numFmtId="0" fontId="0" fillId="0" borderId="0" xfId="0"/>
    <xf numFmtId="2" fontId="0" fillId="0" borderId="1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10" xfId="0" applyNumberFormat="1" applyBorder="1" applyAlignment="1">
      <alignment vertical="center"/>
    </xf>
    <xf numFmtId="2" fontId="0" fillId="0" borderId="11" xfId="0" applyNumberFormat="1" applyBorder="1" applyAlignment="1">
      <alignment vertical="center"/>
    </xf>
    <xf numFmtId="2" fontId="0" fillId="0" borderId="12" xfId="0" applyNumberFormat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3" xfId="0" applyNumberFormat="1" applyBorder="1" applyAlignment="1">
      <alignment vertical="center"/>
    </xf>
    <xf numFmtId="2" fontId="0" fillId="0" borderId="0" xfId="0" applyNumberFormat="1" applyAlignment="1">
      <alignment vertical="center"/>
    </xf>
    <xf numFmtId="0" fontId="0" fillId="0" borderId="13" xfId="0" applyBorder="1" applyAlignment="1">
      <alignment vertical="center"/>
    </xf>
    <xf numFmtId="0" fontId="0" fillId="0" borderId="0" xfId="0" applyAlignment="1">
      <alignment vertical="center"/>
    </xf>
    <xf numFmtId="2" fontId="18" fillId="0" borderId="13" xfId="0" applyNumberFormat="1" applyFont="1" applyBorder="1" applyAlignment="1">
      <alignment vertical="center"/>
    </xf>
    <xf numFmtId="2" fontId="18" fillId="0" borderId="0" xfId="0" applyNumberFormat="1" applyFont="1" applyAlignment="1">
      <alignment vertical="center"/>
    </xf>
    <xf numFmtId="2" fontId="0" fillId="0" borderId="13" xfId="0" applyNumberFormat="1" applyBorder="1"/>
    <xf numFmtId="2" fontId="0" fillId="0" borderId="0" xfId="0" applyNumberFormat="1"/>
    <xf numFmtId="0" fontId="0" fillId="33" borderId="0" xfId="0" applyFill="1"/>
    <xf numFmtId="2" fontId="0" fillId="33" borderId="13" xfId="0" applyNumberFormat="1" applyFill="1" applyBorder="1" applyAlignment="1">
      <alignment vertical="center"/>
    </xf>
    <xf numFmtId="2" fontId="0" fillId="33" borderId="0" xfId="0" applyNumberFormat="1" applyFill="1" applyAlignment="1">
      <alignment vertical="center"/>
    </xf>
    <xf numFmtId="2" fontId="0" fillId="33" borderId="0" xfId="0" applyNumberFormat="1" applyFill="1" applyAlignment="1">
      <alignment horizontal="center" vertical="center"/>
    </xf>
    <xf numFmtId="2" fontId="0" fillId="0" borderId="14" xfId="0" applyNumberFormat="1" applyBorder="1" applyAlignment="1">
      <alignment vertical="center"/>
    </xf>
    <xf numFmtId="2" fontId="0" fillId="0" borderId="14" xfId="0" applyNumberFormat="1" applyBorder="1"/>
    <xf numFmtId="2" fontId="0" fillId="0" borderId="17" xfId="0" applyNumberFormat="1" applyBorder="1"/>
    <xf numFmtId="0" fontId="0" fillId="0" borderId="14" xfId="0" applyBorder="1" applyAlignment="1">
      <alignment vertical="center"/>
    </xf>
    <xf numFmtId="2" fontId="18" fillId="0" borderId="14" xfId="0" applyNumberFormat="1" applyFont="1" applyBorder="1" applyAlignment="1">
      <alignment vertical="center"/>
    </xf>
    <xf numFmtId="2" fontId="0" fillId="33" borderId="18" xfId="0" applyNumberFormat="1" applyFill="1" applyBorder="1"/>
    <xf numFmtId="2" fontId="0" fillId="33" borderId="19" xfId="0" applyNumberFormat="1" applyFill="1" applyBorder="1"/>
    <xf numFmtId="2" fontId="0" fillId="33" borderId="20" xfId="0" applyNumberFormat="1" applyFill="1" applyBorder="1"/>
    <xf numFmtId="2" fontId="0" fillId="33" borderId="14" xfId="0" applyNumberFormat="1" applyFill="1" applyBorder="1" applyAlignment="1">
      <alignment vertical="center"/>
    </xf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2" fontId="0" fillId="36" borderId="18" xfId="0" applyNumberFormat="1" applyFill="1" applyBorder="1" applyAlignment="1">
      <alignment horizontal="center"/>
    </xf>
    <xf numFmtId="2" fontId="0" fillId="36" borderId="19" xfId="0" applyNumberFormat="1" applyFill="1" applyBorder="1" applyAlignment="1">
      <alignment horizontal="center"/>
    </xf>
    <xf numFmtId="2" fontId="0" fillId="36" borderId="20" xfId="0" applyNumberForma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Border="1" applyAlignment="1">
      <alignment horizontal="left"/>
    </xf>
    <xf numFmtId="0" fontId="0" fillId="33" borderId="0" xfId="0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CCC"/>
      <color rgb="FFB7D3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3075A-D8DC-4A1B-AD39-4B51A8BDEDE3}">
  <dimension ref="A1:P44"/>
  <sheetViews>
    <sheetView tabSelected="1" workbookViewId="0">
      <selection activeCell="S23" sqref="S23"/>
    </sheetView>
  </sheetViews>
  <sheetFormatPr defaultRowHeight="14.5" x14ac:dyDescent="0.35"/>
  <cols>
    <col min="1" max="1" width="12.453125" bestFit="1" customWidth="1"/>
    <col min="2" max="2" width="10.36328125" bestFit="1" customWidth="1"/>
    <col min="3" max="3" width="6.26953125" bestFit="1" customWidth="1"/>
    <col min="4" max="4" width="6.54296875" bestFit="1" customWidth="1"/>
    <col min="5" max="5" width="18.1796875" bestFit="1" customWidth="1"/>
    <col min="6" max="6" width="12.7265625" bestFit="1" customWidth="1"/>
  </cols>
  <sheetData>
    <row r="1" spans="1:16" x14ac:dyDescent="0.35">
      <c r="A1" s="33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14</v>
      </c>
    </row>
    <row r="2" spans="1:16" x14ac:dyDescent="0.35">
      <c r="A2" t="s">
        <v>18</v>
      </c>
      <c r="B2" s="7">
        <v>4755</v>
      </c>
      <c r="C2" s="1" t="s">
        <v>5</v>
      </c>
      <c r="D2" s="7" t="s">
        <v>5</v>
      </c>
      <c r="E2" s="7">
        <v>6025</v>
      </c>
      <c r="F2" s="7">
        <v>3046</v>
      </c>
      <c r="G2" s="8"/>
      <c r="H2" s="9"/>
    </row>
    <row r="3" spans="1:16" x14ac:dyDescent="0.35">
      <c r="A3" t="s">
        <v>6</v>
      </c>
      <c r="B3" s="12">
        <f>((B2*617.96)+36.04)</f>
        <v>2938435.8400000003</v>
      </c>
      <c r="C3" s="2" t="s">
        <v>5</v>
      </c>
      <c r="D3" s="12" t="s">
        <v>5</v>
      </c>
      <c r="E3" s="12">
        <f>((E2*617.96)+36.04)</f>
        <v>3723245.04</v>
      </c>
      <c r="F3" s="12">
        <f>((F2*617.96)+36.04)</f>
        <v>1882342.2000000002</v>
      </c>
      <c r="G3" s="13"/>
      <c r="H3" s="24"/>
      <c r="J3" s="43" t="s">
        <v>25</v>
      </c>
      <c r="K3" s="43"/>
      <c r="L3" s="43"/>
      <c r="M3" s="43"/>
      <c r="N3" s="43"/>
      <c r="O3" s="43"/>
      <c r="P3" s="43"/>
    </row>
    <row r="4" spans="1:16" s="20" customFormat="1" x14ac:dyDescent="0.35">
      <c r="A4" s="20" t="s">
        <v>19</v>
      </c>
      <c r="B4" s="21">
        <v>10</v>
      </c>
      <c r="C4" s="23">
        <v>10</v>
      </c>
      <c r="D4" s="21">
        <f>200-B4-C4-E4-F4</f>
        <v>180</v>
      </c>
      <c r="E4" s="21">
        <v>0</v>
      </c>
      <c r="F4" s="21">
        <f>F5*F3</f>
        <v>0</v>
      </c>
      <c r="G4" s="22"/>
      <c r="H4" s="32"/>
      <c r="J4" s="44" t="s">
        <v>26</v>
      </c>
      <c r="K4" s="44"/>
      <c r="L4" s="44"/>
      <c r="M4" s="44"/>
      <c r="N4" s="44"/>
      <c r="O4" s="44"/>
      <c r="P4" s="44"/>
    </row>
    <row r="5" spans="1:16" x14ac:dyDescent="0.35">
      <c r="A5" t="s">
        <v>20</v>
      </c>
      <c r="B5" s="14"/>
      <c r="C5" s="3"/>
      <c r="D5" s="12" t="s">
        <v>5</v>
      </c>
      <c r="E5" s="14">
        <f>E4/E3</f>
        <v>0</v>
      </c>
      <c r="F5" s="14">
        <f>F6*C5</f>
        <v>0</v>
      </c>
      <c r="G5" s="15"/>
      <c r="H5" s="27"/>
      <c r="J5" s="44" t="s">
        <v>27</v>
      </c>
      <c r="K5" s="44"/>
      <c r="L5" s="44"/>
      <c r="M5" s="44"/>
      <c r="N5" s="44"/>
      <c r="O5" s="44"/>
      <c r="P5" s="44"/>
    </row>
    <row r="6" spans="1:16" ht="16" x14ac:dyDescent="0.35">
      <c r="A6" t="s">
        <v>21</v>
      </c>
      <c r="B6" s="16"/>
      <c r="C6" s="4"/>
      <c r="D6" s="12"/>
      <c r="E6" s="16">
        <v>1</v>
      </c>
      <c r="F6" s="16">
        <v>0.1</v>
      </c>
      <c r="G6" s="17"/>
      <c r="H6" s="28"/>
      <c r="J6" s="43" t="s">
        <v>28</v>
      </c>
      <c r="K6" s="43"/>
      <c r="L6" s="43"/>
      <c r="M6" s="43"/>
      <c r="N6" s="43"/>
      <c r="O6" s="43"/>
      <c r="P6" s="43"/>
    </row>
    <row r="7" spans="1:16" x14ac:dyDescent="0.35">
      <c r="A7" t="s">
        <v>22</v>
      </c>
      <c r="B7" s="18">
        <v>25</v>
      </c>
      <c r="C7" s="5">
        <v>25</v>
      </c>
      <c r="D7" s="18">
        <v>25</v>
      </c>
      <c r="E7" s="18">
        <v>25</v>
      </c>
      <c r="F7" s="18">
        <v>25</v>
      </c>
      <c r="G7" s="19"/>
      <c r="H7" s="25"/>
      <c r="J7" s="42"/>
      <c r="K7" s="42"/>
      <c r="L7" s="42"/>
      <c r="M7" s="42"/>
      <c r="N7" s="42"/>
      <c r="O7" s="42"/>
      <c r="P7" s="42"/>
    </row>
    <row r="8" spans="1:16" x14ac:dyDescent="0.35">
      <c r="A8" t="s">
        <v>7</v>
      </c>
      <c r="B8" s="10">
        <f>B4/B7</f>
        <v>0.4</v>
      </c>
      <c r="C8" s="6">
        <f>C4/C7</f>
        <v>0.4</v>
      </c>
      <c r="D8" s="10">
        <f>D4/D7</f>
        <v>7.2</v>
      </c>
      <c r="E8" s="10">
        <f>E4/E7</f>
        <v>0</v>
      </c>
      <c r="F8" s="10">
        <f>F4/F7</f>
        <v>0</v>
      </c>
      <c r="G8" s="11"/>
      <c r="H8" s="26"/>
    </row>
    <row r="10" spans="1:16" x14ac:dyDescent="0.35">
      <c r="A10" t="s">
        <v>23</v>
      </c>
      <c r="B10">
        <v>8</v>
      </c>
    </row>
    <row r="11" spans="1:16" x14ac:dyDescent="0.35">
      <c r="A11" t="s">
        <v>24</v>
      </c>
      <c r="B11">
        <v>10</v>
      </c>
    </row>
    <row r="12" spans="1:16" x14ac:dyDescent="0.35">
      <c r="G12" t="s">
        <v>8</v>
      </c>
    </row>
    <row r="13" spans="1:16" x14ac:dyDescent="0.35">
      <c r="B13" s="35">
        <f>B10*B8*1.1</f>
        <v>3.5200000000000005</v>
      </c>
      <c r="C13" s="35">
        <f>B10*C8*1.1</f>
        <v>3.5200000000000005</v>
      </c>
      <c r="D13" s="35">
        <f>B10*D8*1.1</f>
        <v>63.360000000000007</v>
      </c>
      <c r="E13" s="35">
        <f>B10*E8*1.1</f>
        <v>0</v>
      </c>
      <c r="F13" s="35">
        <f>B10*F8*1.1</f>
        <v>0</v>
      </c>
      <c r="G13" s="37">
        <f>B10*B11*1.1-SUM(B13:F13)</f>
        <v>17.599999999999994</v>
      </c>
      <c r="H13" s="38"/>
      <c r="I13" s="39"/>
    </row>
    <row r="14" spans="1:16" x14ac:dyDescent="0.35">
      <c r="B14" s="36" t="s">
        <v>11</v>
      </c>
      <c r="C14" s="36" t="s">
        <v>9</v>
      </c>
      <c r="D14" s="36" t="s">
        <v>10</v>
      </c>
      <c r="E14" s="36" t="s">
        <v>12</v>
      </c>
      <c r="F14" s="36" t="s">
        <v>13</v>
      </c>
      <c r="G14" s="36" t="s">
        <v>0</v>
      </c>
    </row>
    <row r="16" spans="1:16" x14ac:dyDescent="0.35">
      <c r="A16" t="s">
        <v>9</v>
      </c>
      <c r="B16" t="s">
        <v>1</v>
      </c>
      <c r="C16" t="s">
        <v>2</v>
      </c>
      <c r="D16" t="s">
        <v>3</v>
      </c>
      <c r="E16" t="s">
        <v>4</v>
      </c>
      <c r="F16" t="s">
        <v>14</v>
      </c>
    </row>
    <row r="17" spans="1:9" x14ac:dyDescent="0.35">
      <c r="A17" t="s">
        <v>18</v>
      </c>
      <c r="B17" s="7"/>
      <c r="C17" s="1"/>
      <c r="D17" s="7"/>
      <c r="E17" s="7"/>
      <c r="F17" s="7"/>
      <c r="G17" s="8"/>
      <c r="H17" s="9"/>
    </row>
    <row r="18" spans="1:9" x14ac:dyDescent="0.35">
      <c r="A18" t="s">
        <v>6</v>
      </c>
      <c r="B18" s="12"/>
      <c r="C18" s="2"/>
      <c r="D18" s="12"/>
      <c r="E18" s="12"/>
      <c r="F18" s="12"/>
      <c r="G18" s="13"/>
      <c r="H18" s="24"/>
    </row>
    <row r="19" spans="1:9" x14ac:dyDescent="0.35">
      <c r="A19" s="20" t="s">
        <v>19</v>
      </c>
      <c r="B19" s="21"/>
      <c r="C19" s="23"/>
      <c r="D19" s="21"/>
      <c r="E19" s="21"/>
      <c r="F19" s="21"/>
      <c r="G19" s="22"/>
      <c r="H19" s="32"/>
    </row>
    <row r="20" spans="1:9" x14ac:dyDescent="0.35">
      <c r="A20" t="s">
        <v>20</v>
      </c>
      <c r="B20" s="14"/>
      <c r="C20" s="3"/>
      <c r="D20" s="12"/>
      <c r="E20" s="14"/>
      <c r="F20" s="14"/>
      <c r="G20" s="15"/>
      <c r="H20" s="27"/>
    </row>
    <row r="21" spans="1:9" ht="16" x14ac:dyDescent="0.35">
      <c r="A21" t="s">
        <v>21</v>
      </c>
      <c r="B21" s="16"/>
      <c r="C21" s="4"/>
      <c r="D21" s="12"/>
      <c r="E21" s="16"/>
      <c r="F21" s="16"/>
      <c r="G21" s="17"/>
      <c r="H21" s="28"/>
    </row>
    <row r="22" spans="1:9" x14ac:dyDescent="0.35">
      <c r="A22" t="s">
        <v>22</v>
      </c>
      <c r="B22" s="18"/>
      <c r="C22" s="5"/>
      <c r="D22" s="18"/>
      <c r="E22" s="18"/>
      <c r="F22" s="18"/>
      <c r="G22" s="19"/>
      <c r="H22" s="25"/>
    </row>
    <row r="23" spans="1:9" x14ac:dyDescent="0.35">
      <c r="A23" t="s">
        <v>7</v>
      </c>
      <c r="B23" s="10"/>
      <c r="C23" s="6"/>
      <c r="D23" s="10"/>
      <c r="E23" s="10"/>
      <c r="F23" s="10"/>
      <c r="G23" s="11"/>
      <c r="H23" s="26"/>
    </row>
    <row r="25" spans="1:9" x14ac:dyDescent="0.35">
      <c r="A25" t="s">
        <v>23</v>
      </c>
      <c r="B25">
        <v>0</v>
      </c>
    </row>
    <row r="26" spans="1:9" x14ac:dyDescent="0.35">
      <c r="A26" t="s">
        <v>24</v>
      </c>
      <c r="B26">
        <v>0</v>
      </c>
    </row>
    <row r="27" spans="1:9" x14ac:dyDescent="0.35">
      <c r="G27" t="s">
        <v>8</v>
      </c>
    </row>
    <row r="28" spans="1:9" x14ac:dyDescent="0.35">
      <c r="B28">
        <f>B25*B23*1.1</f>
        <v>0</v>
      </c>
      <c r="C28">
        <f>B25*C23*1.1</f>
        <v>0</v>
      </c>
      <c r="D28">
        <f>B25*D23*1.1</f>
        <v>0</v>
      </c>
      <c r="E28">
        <f>B25*E23*1.1</f>
        <v>0</v>
      </c>
      <c r="F28">
        <f>B25*F23*1.1</f>
        <v>0</v>
      </c>
      <c r="G28" s="29">
        <f>B25*B26*1.1-SUM(B28:F28)</f>
        <v>0</v>
      </c>
      <c r="H28" s="30"/>
      <c r="I28" s="31"/>
    </row>
    <row r="29" spans="1:9" x14ac:dyDescent="0.35">
      <c r="B29" t="s">
        <v>11</v>
      </c>
      <c r="C29" t="s">
        <v>9</v>
      </c>
      <c r="D29" t="s">
        <v>10</v>
      </c>
      <c r="E29" t="s">
        <v>12</v>
      </c>
      <c r="F29" t="s">
        <v>13</v>
      </c>
      <c r="G29" t="s">
        <v>0</v>
      </c>
    </row>
    <row r="31" spans="1:9" x14ac:dyDescent="0.35">
      <c r="A31" t="s">
        <v>10</v>
      </c>
      <c r="B31" t="s">
        <v>1</v>
      </c>
      <c r="C31" t="s">
        <v>2</v>
      </c>
      <c r="D31" t="s">
        <v>3</v>
      </c>
      <c r="E31" t="s">
        <v>4</v>
      </c>
      <c r="F31" t="s">
        <v>14</v>
      </c>
    </row>
    <row r="32" spans="1:9" x14ac:dyDescent="0.35">
      <c r="A32" t="s">
        <v>18</v>
      </c>
      <c r="B32" s="7"/>
      <c r="C32" s="1"/>
      <c r="D32" s="7"/>
      <c r="E32" s="7"/>
      <c r="F32" s="7"/>
      <c r="G32" s="8"/>
      <c r="H32" s="9"/>
    </row>
    <row r="33" spans="1:9" x14ac:dyDescent="0.35">
      <c r="A33" t="s">
        <v>6</v>
      </c>
      <c r="B33" s="12"/>
      <c r="C33" s="2"/>
      <c r="D33" s="12"/>
      <c r="E33" s="12"/>
      <c r="F33" s="12"/>
      <c r="G33" s="13"/>
      <c r="H33" s="24"/>
    </row>
    <row r="34" spans="1:9" x14ac:dyDescent="0.35">
      <c r="A34" s="20" t="s">
        <v>19</v>
      </c>
      <c r="B34" s="21"/>
      <c r="C34" s="23"/>
      <c r="D34" s="21"/>
      <c r="E34" s="21"/>
      <c r="F34" s="21"/>
      <c r="G34" s="22"/>
      <c r="H34" s="32"/>
    </row>
    <row r="35" spans="1:9" x14ac:dyDescent="0.35">
      <c r="A35" t="s">
        <v>20</v>
      </c>
      <c r="B35" s="14"/>
      <c r="C35" s="3"/>
      <c r="D35" s="12"/>
      <c r="E35" s="14"/>
      <c r="F35" s="14"/>
      <c r="G35" s="15"/>
      <c r="H35" s="27"/>
    </row>
    <row r="36" spans="1:9" ht="16" x14ac:dyDescent="0.35">
      <c r="A36" t="s">
        <v>21</v>
      </c>
      <c r="B36" s="16"/>
      <c r="C36" s="4"/>
      <c r="D36" s="12"/>
      <c r="E36" s="16"/>
      <c r="F36" s="16"/>
      <c r="G36" s="17"/>
      <c r="H36" s="28"/>
    </row>
    <row r="37" spans="1:9" x14ac:dyDescent="0.35">
      <c r="A37" t="s">
        <v>22</v>
      </c>
      <c r="B37" s="18"/>
      <c r="C37" s="5"/>
      <c r="D37" s="18"/>
      <c r="E37" s="18"/>
      <c r="F37" s="18"/>
      <c r="G37" s="19"/>
      <c r="H37" s="25"/>
    </row>
    <row r="38" spans="1:9" x14ac:dyDescent="0.35">
      <c r="A38" t="s">
        <v>7</v>
      </c>
      <c r="B38" s="10"/>
      <c r="C38" s="6"/>
      <c r="D38" s="10"/>
      <c r="E38" s="10"/>
      <c r="F38" s="10"/>
      <c r="G38" s="11"/>
      <c r="H38" s="26"/>
    </row>
    <row r="40" spans="1:9" x14ac:dyDescent="0.35">
      <c r="A40" t="s">
        <v>23</v>
      </c>
      <c r="B40">
        <v>0</v>
      </c>
    </row>
    <row r="41" spans="1:9" x14ac:dyDescent="0.35">
      <c r="A41" t="s">
        <v>24</v>
      </c>
      <c r="B41">
        <v>0</v>
      </c>
    </row>
    <row r="42" spans="1:9" x14ac:dyDescent="0.35">
      <c r="G42" t="s">
        <v>8</v>
      </c>
    </row>
    <row r="43" spans="1:9" x14ac:dyDescent="0.35">
      <c r="B43">
        <f>B40*B38*1.1</f>
        <v>0</v>
      </c>
      <c r="C43">
        <f>B40*C38*1.1</f>
        <v>0</v>
      </c>
      <c r="D43">
        <f>B40*D38*1.1</f>
        <v>0</v>
      </c>
      <c r="E43">
        <f>B40*E38*1.1</f>
        <v>0</v>
      </c>
      <c r="F43">
        <f>B40*F38*1.1</f>
        <v>0</v>
      </c>
      <c r="G43" s="29">
        <f>B40*B41*1.1-SUM(B43:F43)</f>
        <v>0</v>
      </c>
      <c r="H43" s="30"/>
      <c r="I43" s="31"/>
    </row>
    <row r="44" spans="1:9" x14ac:dyDescent="0.35">
      <c r="B44" t="s">
        <v>11</v>
      </c>
      <c r="C44" t="s">
        <v>9</v>
      </c>
      <c r="D44" t="s">
        <v>10</v>
      </c>
      <c r="E44" t="s">
        <v>12</v>
      </c>
      <c r="F44" t="s">
        <v>13</v>
      </c>
      <c r="G44" t="s">
        <v>0</v>
      </c>
    </row>
  </sheetData>
  <mergeCells count="1">
    <mergeCell ref="G13:I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D28FE-5A7F-44D4-A1DC-4B0A268AEAA0}">
  <dimension ref="A1:M29"/>
  <sheetViews>
    <sheetView workbookViewId="0">
      <selection activeCell="M4" sqref="M4"/>
    </sheetView>
  </sheetViews>
  <sheetFormatPr defaultRowHeight="14.5" x14ac:dyDescent="0.35"/>
  <sheetData>
    <row r="1" spans="1:13" x14ac:dyDescent="0.35">
      <c r="A1" s="40" t="s">
        <v>15</v>
      </c>
      <c r="B1" s="41"/>
      <c r="C1" s="41"/>
      <c r="D1" s="41"/>
      <c r="E1" s="41"/>
      <c r="F1" s="41"/>
      <c r="G1" s="41"/>
      <c r="H1" s="41"/>
    </row>
    <row r="3" spans="1:13" x14ac:dyDescent="0.35">
      <c r="B3" cm="1">
        <f t="array" ref="B3:F3">INDEX(MIX!B:F, 13 + (ROW(A1)-1)*15, 0)</f>
        <v>3.5200000000000005</v>
      </c>
      <c r="C3">
        <v>3.5200000000000005</v>
      </c>
      <c r="D3">
        <v>63.360000000000007</v>
      </c>
      <c r="E3">
        <v>0</v>
      </c>
      <c r="F3">
        <v>0</v>
      </c>
    </row>
    <row r="4" spans="1:13" x14ac:dyDescent="0.35">
      <c r="B4" cm="1">
        <f t="array" ref="B4:F4">INDEX(MIX!B:F, 13 + (ROW(A2)-1)*15, 0)</f>
        <v>0</v>
      </c>
      <c r="C4">
        <v>0</v>
      </c>
      <c r="D4">
        <v>0</v>
      </c>
      <c r="E4">
        <v>0</v>
      </c>
      <c r="F4">
        <v>0</v>
      </c>
      <c r="L4" t="s">
        <v>16</v>
      </c>
      <c r="M4">
        <f>COUNTIFS(B3:F29, "&gt;0", B3:F29, "&lt;50")</f>
        <v>2</v>
      </c>
    </row>
    <row r="5" spans="1:13" x14ac:dyDescent="0.35">
      <c r="B5" cm="1">
        <f t="array" ref="B5:F5">INDEX(MIX!B:F, 13 + (ROW(A3)-1)*15, 0)</f>
        <v>0</v>
      </c>
      <c r="C5">
        <v>0</v>
      </c>
      <c r="D5">
        <v>0</v>
      </c>
      <c r="E5">
        <v>0</v>
      </c>
      <c r="F5">
        <v>0</v>
      </c>
      <c r="L5" t="s">
        <v>17</v>
      </c>
      <c r="M5">
        <f>COUNTIFS(B3:F29, "&gt;=50")</f>
        <v>1</v>
      </c>
    </row>
    <row r="6" spans="1:13" x14ac:dyDescent="0.35">
      <c r="B6" cm="1">
        <f t="array" ref="B6:F6">INDEX(MIX!B:F, 13 + (ROW(A4)-1)*15, 0)</f>
        <v>0</v>
      </c>
      <c r="C6">
        <v>0</v>
      </c>
      <c r="D6">
        <v>0</v>
      </c>
      <c r="E6">
        <v>0</v>
      </c>
      <c r="F6">
        <v>0</v>
      </c>
    </row>
    <row r="7" spans="1:13" x14ac:dyDescent="0.35">
      <c r="B7" cm="1">
        <f t="array" ref="B7:F7">INDEX(MIX!B:F, 13 + (ROW(A5)-1)*15, 0)</f>
        <v>0</v>
      </c>
      <c r="C7">
        <v>0</v>
      </c>
      <c r="D7">
        <v>0</v>
      </c>
      <c r="E7">
        <v>0</v>
      </c>
      <c r="F7">
        <v>0</v>
      </c>
    </row>
    <row r="8" spans="1:13" x14ac:dyDescent="0.35">
      <c r="B8" cm="1">
        <f t="array" ref="B8:F8">INDEX(MIX!B:F, 13 + (ROW(A6)-1)*15, 0)</f>
        <v>0</v>
      </c>
      <c r="C8">
        <v>0</v>
      </c>
      <c r="D8">
        <v>0</v>
      </c>
      <c r="E8">
        <v>0</v>
      </c>
      <c r="F8">
        <v>0</v>
      </c>
    </row>
    <row r="9" spans="1:13" x14ac:dyDescent="0.35">
      <c r="B9" cm="1">
        <f t="array" ref="B9:F9">INDEX(MIX!B:F, 13 + (ROW(A7)-1)*15, 0)</f>
        <v>0</v>
      </c>
      <c r="C9">
        <v>0</v>
      </c>
      <c r="D9">
        <v>0</v>
      </c>
      <c r="E9">
        <v>0</v>
      </c>
      <c r="F9">
        <v>0</v>
      </c>
    </row>
    <row r="10" spans="1:13" x14ac:dyDescent="0.35">
      <c r="B10" cm="1">
        <f t="array" ref="B10:F10">INDEX(MIX!B:F, 13 + (ROW(A8)-1)*15, 0)</f>
        <v>0</v>
      </c>
      <c r="C10">
        <v>0</v>
      </c>
      <c r="D10">
        <v>0</v>
      </c>
      <c r="E10">
        <v>0</v>
      </c>
      <c r="F10">
        <v>0</v>
      </c>
    </row>
    <row r="11" spans="1:13" x14ac:dyDescent="0.35">
      <c r="B11" cm="1">
        <f t="array" ref="B11:F11">INDEX(MIX!B:F, 13 + (ROW(A9)-1)*15, 0)</f>
        <v>0</v>
      </c>
      <c r="C11">
        <v>0</v>
      </c>
      <c r="D11">
        <v>0</v>
      </c>
      <c r="E11">
        <v>0</v>
      </c>
      <c r="F11">
        <v>0</v>
      </c>
    </row>
    <row r="12" spans="1:13" x14ac:dyDescent="0.35">
      <c r="B12" cm="1">
        <f t="array" ref="B12:F12">INDEX(MIX!B:F, 13 + (ROW(A10)-1)*15, 0)</f>
        <v>0</v>
      </c>
      <c r="C12">
        <v>0</v>
      </c>
      <c r="D12">
        <v>0</v>
      </c>
      <c r="E12">
        <v>0</v>
      </c>
      <c r="F12">
        <v>0</v>
      </c>
    </row>
    <row r="13" spans="1:13" x14ac:dyDescent="0.35">
      <c r="B13" cm="1">
        <f t="array" ref="B13:F13">INDEX(MIX!B:F, 13 + (ROW(A11)-1)*15, 0)</f>
        <v>0</v>
      </c>
      <c r="C13">
        <v>0</v>
      </c>
      <c r="D13">
        <v>0</v>
      </c>
      <c r="E13">
        <v>0</v>
      </c>
      <c r="F13">
        <v>0</v>
      </c>
    </row>
    <row r="14" spans="1:13" x14ac:dyDescent="0.35">
      <c r="B14" cm="1">
        <f t="array" ref="B14:F14">INDEX(MIX!B:F, 13 + (ROW(A12)-1)*15, 0)</f>
        <v>0</v>
      </c>
      <c r="C14">
        <v>0</v>
      </c>
      <c r="D14">
        <v>0</v>
      </c>
      <c r="E14">
        <v>0</v>
      </c>
      <c r="F14">
        <v>0</v>
      </c>
    </row>
    <row r="15" spans="1:13" x14ac:dyDescent="0.35">
      <c r="B15" cm="1">
        <f t="array" ref="B15:F15">INDEX(MIX!B:F, 13 + (ROW(A13)-1)*15, 0)</f>
        <v>0</v>
      </c>
      <c r="C15">
        <v>0</v>
      </c>
      <c r="D15">
        <v>0</v>
      </c>
      <c r="E15">
        <v>0</v>
      </c>
      <c r="F15">
        <v>0</v>
      </c>
    </row>
    <row r="16" spans="1:13" x14ac:dyDescent="0.35">
      <c r="B16" cm="1">
        <f t="array" ref="B16:F16">INDEX(MIX!B:F, 13 + (ROW(A14)-1)*15, 0)</f>
        <v>0</v>
      </c>
      <c r="C16">
        <v>0</v>
      </c>
      <c r="D16">
        <v>0</v>
      </c>
      <c r="E16">
        <v>0</v>
      </c>
      <c r="F16">
        <v>0</v>
      </c>
    </row>
    <row r="17" spans="2:6" x14ac:dyDescent="0.35">
      <c r="B17" cm="1">
        <f t="array" ref="B17:F17">INDEX(MIX!B:F, 13 + (ROW(A15)-1)*15, 0)</f>
        <v>0</v>
      </c>
      <c r="C17">
        <v>0</v>
      </c>
      <c r="D17">
        <v>0</v>
      </c>
      <c r="E17">
        <v>0</v>
      </c>
      <c r="F17">
        <v>0</v>
      </c>
    </row>
    <row r="18" spans="2:6" x14ac:dyDescent="0.35">
      <c r="B18" cm="1">
        <f t="array" ref="B18:F18">INDEX(MIX!B:F, 13 + (ROW(A16)-1)*15, 0)</f>
        <v>0</v>
      </c>
      <c r="C18">
        <v>0</v>
      </c>
      <c r="D18">
        <v>0</v>
      </c>
      <c r="E18">
        <v>0</v>
      </c>
      <c r="F18">
        <v>0</v>
      </c>
    </row>
    <row r="19" spans="2:6" x14ac:dyDescent="0.35">
      <c r="B19" cm="1">
        <f t="array" ref="B19:F19">INDEX(MIX!B:F, 13 + (ROW(A17)-1)*15, 0)</f>
        <v>0</v>
      </c>
      <c r="C19">
        <v>0</v>
      </c>
      <c r="D19">
        <v>0</v>
      </c>
      <c r="E19">
        <v>0</v>
      </c>
      <c r="F19">
        <v>0</v>
      </c>
    </row>
    <row r="20" spans="2:6" x14ac:dyDescent="0.35">
      <c r="B20" cm="1">
        <f t="array" ref="B20:F20">INDEX(MIX!B:F, 13 + (ROW(A18)-1)*15, 0)</f>
        <v>0</v>
      </c>
      <c r="C20">
        <v>0</v>
      </c>
      <c r="D20">
        <v>0</v>
      </c>
      <c r="E20">
        <v>0</v>
      </c>
      <c r="F20">
        <v>0</v>
      </c>
    </row>
    <row r="21" spans="2:6" x14ac:dyDescent="0.35">
      <c r="B21" cm="1">
        <f t="array" ref="B21:F21">INDEX(MIX!B:F, 13 + (ROW(A19)-1)*15, 0)</f>
        <v>0</v>
      </c>
      <c r="C21">
        <v>0</v>
      </c>
      <c r="D21">
        <v>0</v>
      </c>
      <c r="E21">
        <v>0</v>
      </c>
      <c r="F21">
        <v>0</v>
      </c>
    </row>
    <row r="22" spans="2:6" x14ac:dyDescent="0.35">
      <c r="B22" cm="1">
        <f t="array" ref="B22:F22">INDEX(MIX!B:F, 13 + (ROW(A20)-1)*15, 0)</f>
        <v>0</v>
      </c>
      <c r="C22">
        <v>0</v>
      </c>
      <c r="D22">
        <v>0</v>
      </c>
      <c r="E22">
        <v>0</v>
      </c>
      <c r="F22">
        <v>0</v>
      </c>
    </row>
    <row r="23" spans="2:6" x14ac:dyDescent="0.35">
      <c r="B23" cm="1">
        <f t="array" ref="B23:F23">INDEX(MIX!B:F, 13 + (ROW(A21)-1)*15, 0)</f>
        <v>0</v>
      </c>
      <c r="C23">
        <v>0</v>
      </c>
      <c r="D23">
        <v>0</v>
      </c>
      <c r="E23">
        <v>0</v>
      </c>
      <c r="F23">
        <v>0</v>
      </c>
    </row>
    <row r="24" spans="2:6" x14ac:dyDescent="0.35">
      <c r="B24" cm="1">
        <f t="array" ref="B24:F24">INDEX(MIX!B:F, 13 + (ROW(A22)-1)*15, 0)</f>
        <v>0</v>
      </c>
      <c r="C24">
        <v>0</v>
      </c>
      <c r="D24">
        <v>0</v>
      </c>
      <c r="E24">
        <v>0</v>
      </c>
      <c r="F24">
        <v>0</v>
      </c>
    </row>
    <row r="25" spans="2:6" x14ac:dyDescent="0.35">
      <c r="B25" cm="1">
        <f t="array" ref="B25:F25">INDEX(MIX!B:F, 13 + (ROW(A23)-1)*15, 0)</f>
        <v>0</v>
      </c>
      <c r="C25">
        <v>0</v>
      </c>
      <c r="D25">
        <v>0</v>
      </c>
      <c r="E25">
        <v>0</v>
      </c>
      <c r="F25">
        <v>0</v>
      </c>
    </row>
    <row r="26" spans="2:6" x14ac:dyDescent="0.35">
      <c r="B26" cm="1">
        <f t="array" ref="B26:F26">INDEX(MIX!B:F, 13 + (ROW(A24)-1)*15, 0)</f>
        <v>0</v>
      </c>
      <c r="C26">
        <v>0</v>
      </c>
      <c r="D26">
        <v>0</v>
      </c>
      <c r="E26">
        <v>0</v>
      </c>
      <c r="F26">
        <v>0</v>
      </c>
    </row>
    <row r="27" spans="2:6" x14ac:dyDescent="0.35">
      <c r="B27" cm="1">
        <f t="array" ref="B27:F27">INDEX(MIX!B:F, 13 + (ROW(A25)-1)*15, 0)</f>
        <v>0</v>
      </c>
      <c r="C27">
        <v>0</v>
      </c>
      <c r="D27">
        <v>0</v>
      </c>
      <c r="E27">
        <v>0</v>
      </c>
      <c r="F27">
        <v>0</v>
      </c>
    </row>
    <row r="28" spans="2:6" x14ac:dyDescent="0.35">
      <c r="B28" cm="1">
        <f t="array" ref="B28:F28">INDEX(MIX!B:F, 13 + (ROW(A26)-1)*15, 0)</f>
        <v>0</v>
      </c>
      <c r="C28">
        <v>0</v>
      </c>
      <c r="D28">
        <v>0</v>
      </c>
      <c r="E28">
        <v>0</v>
      </c>
      <c r="F28">
        <v>0</v>
      </c>
    </row>
    <row r="29" spans="2:6" x14ac:dyDescent="0.35">
      <c r="B29" cm="1">
        <f t="array" ref="B29:F29">INDEX(MIX!B:F, 13 + (ROW(A27)-1)*15, 0)</f>
        <v>0</v>
      </c>
      <c r="C29">
        <v>0</v>
      </c>
      <c r="D29">
        <v>0</v>
      </c>
      <c r="E29">
        <v>0</v>
      </c>
      <c r="F29">
        <v>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MIX</vt:lpstr>
      <vt:lpstr>TIPS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Postiglione</dc:creator>
  <cp:lastModifiedBy>Vittoria Martinelli</cp:lastModifiedBy>
  <dcterms:created xsi:type="dcterms:W3CDTF">2025-06-10T12:40:57Z</dcterms:created>
  <dcterms:modified xsi:type="dcterms:W3CDTF">2025-11-27T09:55:43Z</dcterms:modified>
</cp:coreProperties>
</file>